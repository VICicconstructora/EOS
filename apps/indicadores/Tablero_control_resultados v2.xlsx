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3391de9aa182488/Documentos/Documentos/Indicadores/"/>
    </mc:Choice>
  </mc:AlternateContent>
  <xr:revisionPtr revIDLastSave="11" documentId="8_{ACD73743-1710-4865-9158-68F1878D16B1}" xr6:coauthVersionLast="47" xr6:coauthVersionMax="47" xr10:uidLastSave="{4F82D959-9D80-434D-9190-FD709E34B5D3}"/>
  <bookViews>
    <workbookView xWindow="-110" yWindow="-110" windowWidth="19420" windowHeight="11500" xr2:uid="{00000000-000D-0000-FFFF-FFFF00000000}"/>
  </bookViews>
  <sheets>
    <sheet name="Tablero Control Resultados" sheetId="1" r:id="rId1"/>
    <sheet name="Umbrales y Defini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<sst xmlns="http://schemas.openxmlformats.org/spreadsheetml/2006/main" count="194" uniqueCount="118">
  <si>
    <t>TABLERO CONTROL RESULTADOS — JUNTA DIRECTIVA</t>
  </si>
  <si>
    <t>IC Constructora  |  Período: Febrero 2026  |  Fecha de corte: 20/02/2026</t>
  </si>
  <si>
    <t>RESUMEN</t>
  </si>
  <si>
    <t>VENTAS</t>
  </si>
  <si>
    <t>OBRA</t>
  </si>
  <si>
    <t>FINANCIERO</t>
  </si>
  <si>
    <t>PROYECTO</t>
  </si>
  <si>
    <t>Semáforo
Global</t>
  </si>
  <si>
    <t>% Cumplim.
Ventas Netas
Mes</t>
  </si>
  <si>
    <t>% Cumplim.
Ventas Netas
Acumulado</t>
  </si>
  <si>
    <t>Unidades
por Vender
(#)</t>
  </si>
  <si>
    <t>% Cumplim.
Avance Obra
Mes</t>
  </si>
  <si>
    <t>% Cumplim.
Avance Obra
Acumulado</t>
  </si>
  <si>
    <t>Variación
Costo Directo
vs Ppto (%)</t>
  </si>
  <si>
    <t>% Honorarios
Cobrados /
% Av. Obra</t>
  </si>
  <si>
    <t>Margen Neto
Esperado vs
Proyectado (%)</t>
  </si>
  <si>
    <t>Proyecto 1</t>
  </si>
  <si>
    <t>🟢 OK</t>
  </si>
  <si>
    <t>Proyecto 2</t>
  </si>
  <si>
    <t>Proyecto 3</t>
  </si>
  <si>
    <t>🟡 ALERTA</t>
  </si>
  <si>
    <t>Proyecto 4</t>
  </si>
  <si>
    <t>Proyecto 5</t>
  </si>
  <si>
    <t>🔴 CRÍTICO</t>
  </si>
  <si>
    <t>Proyecto 6</t>
  </si>
  <si>
    <t>Proyecto 7</t>
  </si>
  <si>
    <t>Proyecto 8</t>
  </si>
  <si>
    <t>Proyecto 9</t>
  </si>
  <si>
    <t>Proyecto 10</t>
  </si>
  <si>
    <t>Proyecto 11</t>
  </si>
  <si>
    <t>Proyecto 12</t>
  </si>
  <si>
    <t>Proyecto 13</t>
  </si>
  <si>
    <t>Proyecto 14</t>
  </si>
  <si>
    <t>Proyecto 15</t>
  </si>
  <si>
    <t>SEMÁFORO:   🟢 Verde = Bajo control   |   🟡 Amarillo = Requiere atención   |   🔴 Rojo = Acción inmediata        |        Umbrales en hoja 'Umbrales y Definiciones'</t>
  </si>
  <si>
    <t>#</t>
  </si>
  <si>
    <t>Categoría</t>
  </si>
  <si>
    <t>Indicador</t>
  </si>
  <si>
    <t>Descripción / Fórmula</t>
  </si>
  <si>
    <t>Tipo</t>
  </si>
  <si>
    <t>🟢 Verde</t>
  </si>
  <si>
    <t>🟡 Amarillo</t>
  </si>
  <si>
    <t>🔴 Rojo</t>
  </si>
  <si>
    <t>Responsable</t>
  </si>
  <si>
    <t>Resumen</t>
  </si>
  <si>
    <t>Semáforo Global</t>
  </si>
  <si>
    <t>Calificación ponderada de todos los indicadores</t>
  </si>
  <si>
    <t>—</t>
  </si>
  <si>
    <t>0-2 amarillo, 0 rojo</t>
  </si>
  <si>
    <t>3+ amarillo o 1 rojo</t>
  </si>
  <si>
    <t>2+ en rojo</t>
  </si>
  <si>
    <t>Gerencia General</t>
  </si>
  <si>
    <t>Ventas</t>
  </si>
  <si>
    <t>% Cumplimiento Ventas Netas Mes</t>
  </si>
  <si>
    <t>Ventas netas del mes / Meta de ventas del mes</t>
  </si>
  <si>
    <t>Lagging</t>
  </si>
  <si>
    <t>≥ 100%</t>
  </si>
  <si>
    <t>85% - 99%</t>
  </si>
  <si>
    <t>&lt; 85%</t>
  </si>
  <si>
    <t>Dir. Comercial</t>
  </si>
  <si>
    <t>% Cumplimiento Ventas Netas Acumulado</t>
  </si>
  <si>
    <t>Ventas netas acumuladas / Meta acumulada</t>
  </si>
  <si>
    <t>Unidades por Vender (#)</t>
  </si>
  <si>
    <t>Unidades totales - Unidades vendidas netas</t>
  </si>
  <si>
    <t>Según plan del proyecto</t>
  </si>
  <si>
    <t>Desistimientos Mes (uds)</t>
  </si>
  <si>
    <t>Unidades desistidas en el mes</t>
  </si>
  <si>
    <t>Desistimientos Acumulados (uds)</t>
  </si>
  <si>
    <t>Total unidades desistidas acumuladas</t>
  </si>
  <si>
    <t>Obra</t>
  </si>
  <si>
    <t>% Cumplimiento Avance Obra Mes</t>
  </si>
  <si>
    <t>Avance real del mes / Avance programado del mes</t>
  </si>
  <si>
    <t>90% - 99%</t>
  </si>
  <si>
    <t>&lt; 90%</t>
  </si>
  <si>
    <t>Dir. Técnica</t>
  </si>
  <si>
    <t>% Cumplimiento Avance Obra Acumulado</t>
  </si>
  <si>
    <t>Avance real acumulado / Avance programado acumulado</t>
  </si>
  <si>
    <t>Variación Costo Directo vs Presupuesto</t>
  </si>
  <si>
    <t>Sobrecosto directo real / Presupuesto costo directo</t>
  </si>
  <si>
    <t>≤ 3%</t>
  </si>
  <si>
    <t>3.1% - 5%</t>
  </si>
  <si>
    <t>&gt; 5%</t>
  </si>
  <si>
    <t>Financiero</t>
  </si>
  <si>
    <t>Cobertura Costo (Ventas + K) en uds</t>
  </si>
  <si>
    <t>Unidades faltantes para cubrir costo total con ventas + capital</t>
  </si>
  <si>
    <t>Definido por administración</t>
  </si>
  <si>
    <t>Dir. Financiera</t>
  </si>
  <si>
    <t>Cobertura Cupo en uds</t>
  </si>
  <si>
    <t>Unidades faltantes para cubrir cupo de crédito constructor</t>
  </si>
  <si>
    <t>Cobertura Utilidad en uds</t>
  </si>
  <si>
    <t>Unidades faltantes para alcanzar utilidad objetivo</t>
  </si>
  <si>
    <t>Cambio Proyección Utilidad Mes ($MM)</t>
  </si>
  <si>
    <t>Variación absoluta de la utilidad proyectada vs mes anterior</t>
  </si>
  <si>
    <t>≥ $0</t>
  </si>
  <si>
    <t>$-100 a $-1</t>
  </si>
  <si>
    <t>&lt; $-100 MM</t>
  </si>
  <si>
    <t>% Honorarios Cobrados / % Avance Obra</t>
  </si>
  <si>
    <t>Ratio entre honorarios facturados y avance de obra</t>
  </si>
  <si>
    <t>≥ 1.00</t>
  </si>
  <si>
    <t>0.90 - 0.99</t>
  </si>
  <si>
    <t>&lt; 0.90</t>
  </si>
  <si>
    <t>Margen Neto Esperado vs Proyectado</t>
  </si>
  <si>
    <t>Utilidad esperada a cierre / Utilidad proyectada en factibilidad</t>
  </si>
  <si>
    <t>≥ 95%</t>
  </si>
  <si>
    <t>90% - 94%</t>
  </si>
  <si>
    <t>Δ TIR (Proyectada - Inicial) en bps</t>
  </si>
  <si>
    <t>TIR proyectada actual menos TIR del estudio de factibilidad</t>
  </si>
  <si>
    <t>Referencia, sin semáforo</t>
  </si>
  <si>
    <t>Desistimientos
Mes
(#)</t>
  </si>
  <si>
    <t>Desistimientos
Acumulados
(#)</t>
  </si>
  <si>
    <t>Cobertura
Cupo
(#)</t>
  </si>
  <si>
    <t>Cobertura
Utilidad
(#)</t>
  </si>
  <si>
    <t>Cambio Proy.
Utilidad Mes
($M)</t>
  </si>
  <si>
    <t>Kapital a 3 Meses</t>
  </si>
  <si>
    <t>Kapital a 6 Meses</t>
  </si>
  <si>
    <t>Kapital a 9 Meses</t>
  </si>
  <si>
    <t>Cobertura
Costo T (V+K)
(#)</t>
  </si>
  <si>
    <t>Δ TIR K
(Proy - Inicial)
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</si>
</sst>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;\-0;0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9"/>
      <color rgb="FFFFFFFF"/>
      <name val="Arial"/>
    </font>
    <font>
      <b/>
      <sz val="9"/>
      <color rgb="FF8B1A1A"/>
      <name val="Arial"/>
    </font>
    <font>
      <b/>
      <sz val="7.5"/>
      <color rgb="FF8B1A1A"/>
      <name val="Arial"/>
    </font>
    <font>
      <b/>
      <sz val="8.5"/>
      <color rgb="FF8B1A1A"/>
      <name val="Arial"/>
    </font>
    <font>
      <b/>
      <sz val="8"/>
      <color rgb="FF006100"/>
      <name val="Arial"/>
    </font>
    <font>
      <sz val="9"/>
      <name val="Arial"/>
    </font>
    <font>
      <sz val="8"/>
      <name val="Arial"/>
    </font>
    <font>
      <b/>
      <sz val="8"/>
      <color rgb="FF9C6500"/>
      <name val="Arial"/>
    </font>
    <font>
      <b/>
      <sz val="8"/>
      <color rgb="FF9C0006"/>
      <name val="Arial"/>
    </font>
    <font>
      <i/>
      <sz val="7.5"/>
      <color rgb="FF666666"/>
      <name val="Arial"/>
    </font>
    <font>
      <sz val="8.5"/>
      <name val="Arial"/>
    </font>
    <font>
      <sz val="8.5"/>
      <color rgb="FF006100"/>
      <name val="Arial"/>
    </font>
    <font>
      <sz val="8.5"/>
      <color rgb="FF9C6500"/>
      <name val="Arial"/>
    </font>
    <font>
      <sz val="8.5"/>
      <color rgb="FF9C0006"/>
      <name val="Arial"/>
    </font>
    <font>
      <i/>
      <sz val="8.5"/>
      <color rgb="FF7B7D7D"/>
      <name val="Arial"/>
    </font>
  </fonts>
  <fills count="13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B22222"/>
      </patternFill>
    </fill>
    <fill>
      <patternFill patternType="solid">
        <fgColor rgb="FF9B1B30"/>
      </patternFill>
    </fill>
    <fill>
      <patternFill patternType="solid">
        <fgColor rgb="FF7B2D26"/>
      </patternFill>
    </fill>
    <fill>
      <patternFill patternType="solid">
        <fgColor rgb="FF6B3A2E"/>
      </patternFill>
    </fill>
    <fill>
      <patternFill patternType="solid">
        <fgColor rgb="FFF5E6E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DF8F6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4A8A8"/>
      </left>
      <right style="thin">
        <color rgb="FFD4A8A8"/>
      </right>
      <top style="thin">
        <color rgb="FFD4A8A8"/>
      </top>
      <bottom style="thin">
        <color rgb="FFD4A8A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indent="1"/>
    </xf>
    <xf numFmtId="0" fontId="7" fillId="9" borderId="1" xfId="0" applyFont="1" applyFill="1" applyBorder="1" applyAlignment="1">
      <alignment horizontal="center" vertical="center"/>
    </xf>
    <xf numFmtId="9" fontId="8" fillId="8" borderId="1" xfId="0" applyNumberFormat="1" applyFont="1" applyFill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/>
    </xf>
    <xf numFmtId="3" fontId="9" fillId="8" borderId="1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indent="1"/>
    </xf>
    <xf numFmtId="9" fontId="8" fillId="10" borderId="1" xfId="0" applyNumberFormat="1" applyFont="1" applyFill="1" applyBorder="1" applyAlignment="1">
      <alignment horizontal="center" vertical="center"/>
    </xf>
    <xf numFmtId="1" fontId="8" fillId="10" borderId="1" xfId="0" applyNumberFormat="1" applyFont="1" applyFill="1" applyBorder="1" applyAlignment="1">
      <alignment horizontal="center" vertical="center"/>
    </xf>
    <xf numFmtId="3" fontId="9" fillId="10" borderId="1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9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2" fillId="0" borderId="0" xfId="0" applyFont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</cellXfs>
  <cellStyles count="1">
    <cellStyle name="Normal" xfId="0" builtinId="0"/>
  </cellStyles>
  <dxfs count="14"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  <dxf>
      <font>
        <color rgb="FF9C6500"/>
      </font>
      <fill>
        <patternFill patternType="solid">
          <fgColor rgb="FFFFEB9C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22"/>
  <sheetViews>
    <sheetView tabSelected="1" zoomScale="88" workbookViewId="0">
      <pane xSplit="2" ySplit="5" topLeftCell="I6" activePane="bottomRight" state="frozen"/>
      <selection pane="topRight"/>
      <selection pane="bottomLeft"/>
      <selection pane="bottomRight" activeCell="U6" sqref="U6"/>
    </sheetView>
  </sheetViews>
  <sheetFormatPr baseColWidth="10" defaultColWidth="8.7265625" defaultRowHeight="14.5" x14ac:dyDescent="0.35"/>
  <cols>
    <col min="1" max="1" width="1.453125" customWidth="1"/>
    <col min="2" max="2" width="18" customWidth="1"/>
    <col min="3" max="3" width="11.453125" customWidth="1"/>
    <col min="4" max="11" width="11" customWidth="1"/>
    <col min="12" max="17" width="10" customWidth="1"/>
    <col min="18" max="18" width="13" customWidth="1"/>
    <col min="19" max="21" width="11" customWidth="1"/>
  </cols>
  <sheetData>
    <row r="1" spans="2:21" ht="30" customHeight="1" x14ac:dyDescent="0.35">
      <c r="B1" s="30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</row>
    <row r="2" spans="2:21" ht="24" customHeight="1" x14ac:dyDescent="0.35">
      <c r="B2" s="36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2:21" ht="5" customHeight="1" x14ac:dyDescent="0.35"/>
    <row r="4" spans="2:21" ht="22" customHeight="1" x14ac:dyDescent="0.35">
      <c r="B4" s="1"/>
      <c r="C4" s="2" t="s">
        <v>2</v>
      </c>
      <c r="D4" s="40" t="s">
        <v>3</v>
      </c>
      <c r="E4" s="41"/>
      <c r="F4" s="41"/>
      <c r="G4" s="41"/>
      <c r="H4" s="41"/>
      <c r="I4" s="38" t="s">
        <v>4</v>
      </c>
      <c r="J4" s="39"/>
      <c r="K4" s="39"/>
      <c r="L4" s="34" t="s">
        <v>5</v>
      </c>
      <c r="M4" s="35"/>
      <c r="N4" s="35"/>
      <c r="O4" s="35"/>
      <c r="P4" s="35"/>
      <c r="Q4" s="35"/>
      <c r="R4" s="35"/>
      <c r="S4" s="35"/>
      <c r="T4" s="35"/>
      <c r="U4" s="35"/>
    </row>
    <row r="5" spans="2:21" ht="52" customHeight="1" x14ac:dyDescent="0.35">
      <c r="B5" s="3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108</v>
      </c>
      <c r="H5" s="4" t="s">
        <v>109</v>
      </c>
      <c r="I5" s="4" t="s">
        <v>11</v>
      </c>
      <c r="J5" s="4" t="s">
        <v>12</v>
      </c>
      <c r="K5" s="4" t="s">
        <v>13</v>
      </c>
      <c r="L5" s="4" t="s">
        <v>116</v>
      </c>
      <c r="M5" s="4" t="s">
        <v>110</v>
      </c>
      <c r="N5" s="4" t="s">
        <v>111</v>
      </c>
      <c r="O5" s="4" t="s">
        <v>113</v>
      </c>
      <c r="P5" s="4" t="s">
        <v>114</v>
      </c>
      <c r="Q5" s="4" t="s">
        <v>115</v>
      </c>
      <c r="R5" s="4" t="s">
        <v>112</v>
      </c>
      <c r="S5" s="4" t="s">
        <v>14</v>
      </c>
      <c r="T5" s="4" t="s">
        <v>15</v>
      </c>
      <c r="U5" s="4" t="s">
        <v>117</v>
      </c>
    </row>
    <row r="6" spans="2:21" ht="22" customHeight="1" x14ac:dyDescent="0.35">
      <c r="B6" s="5" t="s">
        <v>16</v>
      </c>
      <c r="C6" s="6" t="s">
        <v>17</v>
      </c>
      <c r="D6" s="7">
        <v>1.05</v>
      </c>
      <c r="E6" s="7">
        <v>1.02</v>
      </c>
      <c r="F6" s="8">
        <v>18</v>
      </c>
      <c r="G6" s="8">
        <v>1</v>
      </c>
      <c r="H6" s="8">
        <v>3</v>
      </c>
      <c r="I6" s="7">
        <v>1.02</v>
      </c>
      <c r="J6" s="7">
        <v>0.98</v>
      </c>
      <c r="K6" s="7">
        <v>-0.02</v>
      </c>
      <c r="L6" s="8">
        <v>12</v>
      </c>
      <c r="M6" s="8">
        <v>8</v>
      </c>
      <c r="N6" s="8">
        <v>5</v>
      </c>
      <c r="O6" s="8"/>
      <c r="P6" s="8"/>
      <c r="Q6" s="8"/>
      <c r="R6" s="9">
        <v>150</v>
      </c>
      <c r="S6" s="10">
        <v>1.05</v>
      </c>
      <c r="T6" s="7">
        <v>0.97</v>
      </c>
      <c r="U6" s="11">
        <v>25</v>
      </c>
    </row>
    <row r="7" spans="2:21" ht="22" customHeight="1" x14ac:dyDescent="0.35">
      <c r="B7" s="12" t="s">
        <v>18</v>
      </c>
      <c r="C7" s="6" t="s">
        <v>17</v>
      </c>
      <c r="D7" s="13">
        <v>0.95</v>
      </c>
      <c r="E7" s="13">
        <v>0.93</v>
      </c>
      <c r="F7" s="14">
        <v>28</v>
      </c>
      <c r="G7" s="14">
        <v>2</v>
      </c>
      <c r="H7" s="14">
        <v>5</v>
      </c>
      <c r="I7" s="13">
        <v>0.96</v>
      </c>
      <c r="J7" s="13">
        <v>0.95</v>
      </c>
      <c r="K7" s="13">
        <v>0.04</v>
      </c>
      <c r="L7" s="14">
        <v>20</v>
      </c>
      <c r="M7" s="14">
        <v>15</v>
      </c>
      <c r="N7" s="14">
        <v>10</v>
      </c>
      <c r="O7" s="14"/>
      <c r="P7" s="14"/>
      <c r="Q7" s="14"/>
      <c r="R7" s="15">
        <v>-80</v>
      </c>
      <c r="S7" s="16">
        <v>0.98</v>
      </c>
      <c r="T7" s="13">
        <v>0.94</v>
      </c>
      <c r="U7" s="17">
        <v>-15</v>
      </c>
    </row>
    <row r="8" spans="2:21" ht="22" customHeight="1" x14ac:dyDescent="0.35">
      <c r="B8" s="5" t="s">
        <v>19</v>
      </c>
      <c r="C8" s="18" t="s">
        <v>20</v>
      </c>
      <c r="D8" s="7">
        <v>0.8</v>
      </c>
      <c r="E8" s="7">
        <v>0.78</v>
      </c>
      <c r="F8" s="8">
        <v>45</v>
      </c>
      <c r="G8" s="8">
        <v>4</v>
      </c>
      <c r="H8" s="8">
        <v>12</v>
      </c>
      <c r="I8" s="7">
        <v>0.9</v>
      </c>
      <c r="J8" s="7">
        <v>0.88</v>
      </c>
      <c r="K8" s="7">
        <v>0.06</v>
      </c>
      <c r="L8" s="8">
        <v>35</v>
      </c>
      <c r="M8" s="8">
        <v>28</v>
      </c>
      <c r="N8" s="8">
        <v>20</v>
      </c>
      <c r="O8" s="8"/>
      <c r="P8" s="8"/>
      <c r="Q8" s="8"/>
      <c r="R8" s="9">
        <v>-250</v>
      </c>
      <c r="S8" s="10">
        <v>0.9</v>
      </c>
      <c r="T8" s="7">
        <v>0.88</v>
      </c>
      <c r="U8" s="11">
        <v>-85</v>
      </c>
    </row>
    <row r="9" spans="2:21" ht="22" customHeight="1" x14ac:dyDescent="0.35">
      <c r="B9" s="12" t="s">
        <v>21</v>
      </c>
      <c r="C9" s="6" t="s">
        <v>17</v>
      </c>
      <c r="D9" s="13">
        <v>1.1000000000000001</v>
      </c>
      <c r="E9" s="13">
        <v>1.08</v>
      </c>
      <c r="F9" s="14">
        <v>12</v>
      </c>
      <c r="G9" s="14">
        <v>0</v>
      </c>
      <c r="H9" s="14">
        <v>2</v>
      </c>
      <c r="I9" s="13">
        <v>1.05</v>
      </c>
      <c r="J9" s="13">
        <v>1.02</v>
      </c>
      <c r="K9" s="13">
        <v>-0.01</v>
      </c>
      <c r="L9" s="14">
        <v>8</v>
      </c>
      <c r="M9" s="14">
        <v>5</v>
      </c>
      <c r="N9" s="14">
        <v>3</v>
      </c>
      <c r="O9" s="14"/>
      <c r="P9" s="14"/>
      <c r="Q9" s="14"/>
      <c r="R9" s="15">
        <v>320</v>
      </c>
      <c r="S9" s="16">
        <v>1.08</v>
      </c>
      <c r="T9" s="13">
        <v>1.01</v>
      </c>
      <c r="U9" s="17">
        <v>50</v>
      </c>
    </row>
    <row r="10" spans="2:21" ht="22" customHeight="1" x14ac:dyDescent="0.35">
      <c r="B10" s="5" t="s">
        <v>22</v>
      </c>
      <c r="C10" s="19" t="s">
        <v>23</v>
      </c>
      <c r="D10" s="7">
        <v>0.65</v>
      </c>
      <c r="E10" s="7">
        <v>0.6</v>
      </c>
      <c r="F10" s="8">
        <v>62</v>
      </c>
      <c r="G10" s="8">
        <v>6</v>
      </c>
      <c r="H10" s="8">
        <v>22</v>
      </c>
      <c r="I10" s="7">
        <v>0.78</v>
      </c>
      <c r="J10" s="7">
        <v>0.75</v>
      </c>
      <c r="K10" s="7">
        <v>0.11</v>
      </c>
      <c r="L10" s="8">
        <v>50</v>
      </c>
      <c r="M10" s="8">
        <v>42</v>
      </c>
      <c r="N10" s="8">
        <v>35</v>
      </c>
      <c r="O10" s="8"/>
      <c r="P10" s="8"/>
      <c r="Q10" s="8"/>
      <c r="R10" s="9">
        <v>-800</v>
      </c>
      <c r="S10" s="10">
        <v>0.82</v>
      </c>
      <c r="T10" s="7">
        <v>0.78</v>
      </c>
      <c r="U10" s="11">
        <v>-220</v>
      </c>
    </row>
    <row r="11" spans="2:21" ht="22" customHeight="1" x14ac:dyDescent="0.35">
      <c r="B11" s="12" t="s">
        <v>24</v>
      </c>
      <c r="C11" s="6" t="s">
        <v>17</v>
      </c>
      <c r="D11" s="13">
        <v>1.02</v>
      </c>
      <c r="E11" s="13">
        <v>1</v>
      </c>
      <c r="F11" s="14">
        <v>20</v>
      </c>
      <c r="G11" s="14">
        <v>1</v>
      </c>
      <c r="H11" s="14">
        <v>4</v>
      </c>
      <c r="I11" s="13">
        <v>0.98</v>
      </c>
      <c r="J11" s="13">
        <v>0.97</v>
      </c>
      <c r="K11" s="13">
        <v>0.03</v>
      </c>
      <c r="L11" s="14">
        <v>15</v>
      </c>
      <c r="M11" s="14">
        <v>10</v>
      </c>
      <c r="N11" s="14">
        <v>7</v>
      </c>
      <c r="O11" s="14"/>
      <c r="P11" s="14"/>
      <c r="Q11" s="14"/>
      <c r="R11" s="15">
        <v>80</v>
      </c>
      <c r="S11" s="16">
        <v>1.02</v>
      </c>
      <c r="T11" s="13">
        <v>0.96</v>
      </c>
      <c r="U11" s="17">
        <v>10</v>
      </c>
    </row>
    <row r="12" spans="2:21" ht="22" customHeight="1" x14ac:dyDescent="0.35">
      <c r="B12" s="5" t="s">
        <v>25</v>
      </c>
      <c r="C12" s="18" t="s">
        <v>20</v>
      </c>
      <c r="D12" s="7">
        <v>0.88</v>
      </c>
      <c r="E12" s="7">
        <v>0.85</v>
      </c>
      <c r="F12" s="8">
        <v>35</v>
      </c>
      <c r="G12" s="8">
        <v>3</v>
      </c>
      <c r="H12" s="8">
        <v>9</v>
      </c>
      <c r="I12" s="7">
        <v>0.92</v>
      </c>
      <c r="J12" s="7">
        <v>0.9</v>
      </c>
      <c r="K12" s="7">
        <v>0.05</v>
      </c>
      <c r="L12" s="8">
        <v>28</v>
      </c>
      <c r="M12" s="8">
        <v>22</v>
      </c>
      <c r="N12" s="8">
        <v>16</v>
      </c>
      <c r="O12" s="8"/>
      <c r="P12" s="8"/>
      <c r="Q12" s="8"/>
      <c r="R12" s="9">
        <v>-180</v>
      </c>
      <c r="S12" s="10">
        <v>0.93</v>
      </c>
      <c r="T12" s="7">
        <v>0.91</v>
      </c>
      <c r="U12" s="11">
        <v>-45</v>
      </c>
    </row>
    <row r="13" spans="2:21" ht="22" customHeight="1" x14ac:dyDescent="0.35">
      <c r="B13" s="12" t="s">
        <v>26</v>
      </c>
      <c r="C13" s="18" t="s">
        <v>20</v>
      </c>
      <c r="D13" s="13">
        <v>0.75</v>
      </c>
      <c r="E13" s="13">
        <v>0.72</v>
      </c>
      <c r="F13" s="14">
        <v>48</v>
      </c>
      <c r="G13" s="14">
        <v>5</v>
      </c>
      <c r="H13" s="14">
        <v>15</v>
      </c>
      <c r="I13" s="13">
        <v>0.85</v>
      </c>
      <c r="J13" s="13">
        <v>0.82</v>
      </c>
      <c r="K13" s="13">
        <v>0.08</v>
      </c>
      <c r="L13" s="14">
        <v>38</v>
      </c>
      <c r="M13" s="14">
        <v>32</v>
      </c>
      <c r="N13" s="14">
        <v>25</v>
      </c>
      <c r="O13" s="14"/>
      <c r="P13" s="14"/>
      <c r="Q13" s="14"/>
      <c r="R13" s="15">
        <v>-450</v>
      </c>
      <c r="S13" s="16">
        <v>0.88</v>
      </c>
      <c r="T13" s="13">
        <v>0.82</v>
      </c>
      <c r="U13" s="17">
        <v>-130</v>
      </c>
    </row>
    <row r="14" spans="2:21" ht="22" customHeight="1" x14ac:dyDescent="0.35">
      <c r="B14" s="5" t="s">
        <v>27</v>
      </c>
      <c r="C14" s="6" t="s">
        <v>17</v>
      </c>
      <c r="D14" s="7">
        <v>1.08</v>
      </c>
      <c r="E14" s="7">
        <v>1.05</v>
      </c>
      <c r="F14" s="8">
        <v>10</v>
      </c>
      <c r="G14" s="8">
        <v>1</v>
      </c>
      <c r="H14" s="8">
        <v>2</v>
      </c>
      <c r="I14" s="7">
        <v>1.03</v>
      </c>
      <c r="J14" s="7">
        <v>1</v>
      </c>
      <c r="K14" s="7">
        <v>0.01</v>
      </c>
      <c r="L14" s="8">
        <v>6</v>
      </c>
      <c r="M14" s="8">
        <v>4</v>
      </c>
      <c r="N14" s="8">
        <v>2</v>
      </c>
      <c r="O14" s="8"/>
      <c r="P14" s="8"/>
      <c r="Q14" s="8"/>
      <c r="R14" s="9">
        <v>280</v>
      </c>
      <c r="S14" s="10">
        <v>1.06</v>
      </c>
      <c r="T14" s="7">
        <v>0.99</v>
      </c>
      <c r="U14" s="11">
        <v>40</v>
      </c>
    </row>
    <row r="15" spans="2:21" ht="22" customHeight="1" x14ac:dyDescent="0.35">
      <c r="B15" s="12" t="s">
        <v>28</v>
      </c>
      <c r="C15" s="19" t="s">
        <v>23</v>
      </c>
      <c r="D15" s="13">
        <v>0.6</v>
      </c>
      <c r="E15" s="13">
        <v>0.55000000000000004</v>
      </c>
      <c r="F15" s="14">
        <v>70</v>
      </c>
      <c r="G15" s="14">
        <v>8</v>
      </c>
      <c r="H15" s="14">
        <v>28</v>
      </c>
      <c r="I15" s="13">
        <v>0.72</v>
      </c>
      <c r="J15" s="13">
        <v>0.68</v>
      </c>
      <c r="K15" s="13">
        <v>0.13</v>
      </c>
      <c r="L15" s="14">
        <v>55</v>
      </c>
      <c r="M15" s="14">
        <v>48</v>
      </c>
      <c r="N15" s="14">
        <v>40</v>
      </c>
      <c r="O15" s="14"/>
      <c r="P15" s="14"/>
      <c r="Q15" s="14"/>
      <c r="R15" s="15">
        <v>-1200</v>
      </c>
      <c r="S15" s="16">
        <v>0.78</v>
      </c>
      <c r="T15" s="13">
        <v>0.72</v>
      </c>
      <c r="U15" s="17">
        <v>-310</v>
      </c>
    </row>
    <row r="16" spans="2:21" ht="22" customHeight="1" x14ac:dyDescent="0.35">
      <c r="B16" s="5" t="s">
        <v>29</v>
      </c>
      <c r="C16" s="6" t="s">
        <v>17</v>
      </c>
      <c r="D16" s="7">
        <v>0.98</v>
      </c>
      <c r="E16" s="7">
        <v>0.96</v>
      </c>
      <c r="F16" s="8">
        <v>22</v>
      </c>
      <c r="G16" s="8">
        <v>1</v>
      </c>
      <c r="H16" s="8">
        <v>5</v>
      </c>
      <c r="I16" s="7">
        <v>0.96</v>
      </c>
      <c r="J16" s="7">
        <v>0.94</v>
      </c>
      <c r="K16" s="7">
        <v>0.03</v>
      </c>
      <c r="L16" s="8">
        <v>16</v>
      </c>
      <c r="M16" s="8">
        <v>12</v>
      </c>
      <c r="N16" s="8">
        <v>8</v>
      </c>
      <c r="O16" s="8"/>
      <c r="P16" s="8"/>
      <c r="Q16" s="8"/>
      <c r="R16" s="9">
        <v>50</v>
      </c>
      <c r="S16" s="10">
        <v>1</v>
      </c>
      <c r="T16" s="7">
        <v>0.95</v>
      </c>
      <c r="U16" s="11">
        <v>5</v>
      </c>
    </row>
    <row r="17" spans="2:21" ht="22" customHeight="1" x14ac:dyDescent="0.35">
      <c r="B17" s="12" t="s">
        <v>30</v>
      </c>
      <c r="C17" s="18" t="s">
        <v>20</v>
      </c>
      <c r="D17" s="13">
        <v>0.9</v>
      </c>
      <c r="E17" s="13">
        <v>0.88</v>
      </c>
      <c r="F17" s="14">
        <v>30</v>
      </c>
      <c r="G17" s="14">
        <v>2</v>
      </c>
      <c r="H17" s="14">
        <v>8</v>
      </c>
      <c r="I17" s="13">
        <v>0.93</v>
      </c>
      <c r="J17" s="13">
        <v>0.91</v>
      </c>
      <c r="K17" s="13">
        <v>0.04</v>
      </c>
      <c r="L17" s="14">
        <v>24</v>
      </c>
      <c r="M17" s="14">
        <v>18</v>
      </c>
      <c r="N17" s="14">
        <v>13</v>
      </c>
      <c r="O17" s="14"/>
      <c r="P17" s="14"/>
      <c r="Q17" s="14"/>
      <c r="R17" s="15">
        <v>-120</v>
      </c>
      <c r="S17" s="16">
        <v>0.95</v>
      </c>
      <c r="T17" s="13">
        <v>0.93</v>
      </c>
      <c r="U17" s="17">
        <v>-30</v>
      </c>
    </row>
    <row r="18" spans="2:21" ht="22" customHeight="1" x14ac:dyDescent="0.35">
      <c r="B18" s="5" t="s">
        <v>31</v>
      </c>
      <c r="C18" s="18" t="s">
        <v>20</v>
      </c>
      <c r="D18" s="7">
        <v>0.78</v>
      </c>
      <c r="E18" s="7">
        <v>0.75</v>
      </c>
      <c r="F18" s="8">
        <v>42</v>
      </c>
      <c r="G18" s="8">
        <v>4</v>
      </c>
      <c r="H18" s="8">
        <v>14</v>
      </c>
      <c r="I18" s="7">
        <v>0.87</v>
      </c>
      <c r="J18" s="7">
        <v>0.85</v>
      </c>
      <c r="K18" s="7">
        <v>7.0000000000000007E-2</v>
      </c>
      <c r="L18" s="8">
        <v>32</v>
      </c>
      <c r="M18" s="8">
        <v>26</v>
      </c>
      <c r="N18" s="8">
        <v>22</v>
      </c>
      <c r="O18" s="8"/>
      <c r="P18" s="8"/>
      <c r="Q18" s="8"/>
      <c r="R18" s="9">
        <v>-350</v>
      </c>
      <c r="S18" s="10">
        <v>0.9</v>
      </c>
      <c r="T18" s="7">
        <v>0.86</v>
      </c>
      <c r="U18" s="11">
        <v>-95</v>
      </c>
    </row>
    <row r="19" spans="2:21" ht="22" customHeight="1" x14ac:dyDescent="0.35">
      <c r="B19" s="12" t="s">
        <v>32</v>
      </c>
      <c r="C19" s="6" t="s">
        <v>17</v>
      </c>
      <c r="D19" s="13">
        <v>1.1200000000000001</v>
      </c>
      <c r="E19" s="13">
        <v>1.1000000000000001</v>
      </c>
      <c r="F19" s="14">
        <v>8</v>
      </c>
      <c r="G19" s="14">
        <v>0</v>
      </c>
      <c r="H19" s="14">
        <v>1</v>
      </c>
      <c r="I19" s="13">
        <v>1.04</v>
      </c>
      <c r="J19" s="13">
        <v>1.03</v>
      </c>
      <c r="K19" s="13">
        <v>0</v>
      </c>
      <c r="L19" s="14">
        <v>5</v>
      </c>
      <c r="M19" s="14">
        <v>3</v>
      </c>
      <c r="N19" s="14">
        <v>1</v>
      </c>
      <c r="O19" s="14"/>
      <c r="P19" s="14"/>
      <c r="Q19" s="14"/>
      <c r="R19" s="15">
        <v>400</v>
      </c>
      <c r="S19" s="16">
        <v>1.1000000000000001</v>
      </c>
      <c r="T19" s="13">
        <v>1.02</v>
      </c>
      <c r="U19" s="17">
        <v>65</v>
      </c>
    </row>
    <row r="20" spans="2:21" ht="22" customHeight="1" x14ac:dyDescent="0.35">
      <c r="B20" s="5" t="s">
        <v>33</v>
      </c>
      <c r="C20" s="19" t="s">
        <v>23</v>
      </c>
      <c r="D20" s="7">
        <v>0.7</v>
      </c>
      <c r="E20" s="7">
        <v>0.65</v>
      </c>
      <c r="F20" s="8">
        <v>58</v>
      </c>
      <c r="G20" s="8">
        <v>5</v>
      </c>
      <c r="H20" s="8">
        <v>20</v>
      </c>
      <c r="I20" s="7">
        <v>0.8</v>
      </c>
      <c r="J20" s="7">
        <v>0.76</v>
      </c>
      <c r="K20" s="7">
        <v>0.09</v>
      </c>
      <c r="L20" s="8">
        <v>45</v>
      </c>
      <c r="M20" s="8">
        <v>38</v>
      </c>
      <c r="N20" s="8">
        <v>32</v>
      </c>
      <c r="O20" s="8"/>
      <c r="P20" s="8"/>
      <c r="Q20" s="8"/>
      <c r="R20" s="9">
        <v>-650</v>
      </c>
      <c r="S20" s="10">
        <v>0.85</v>
      </c>
      <c r="T20" s="7">
        <v>0.8</v>
      </c>
      <c r="U20" s="11">
        <v>-180</v>
      </c>
    </row>
    <row r="22" spans="2:21" x14ac:dyDescent="0.35">
      <c r="B22" s="32" t="s">
        <v>34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</sheetData>
  <mergeCells count="6">
    <mergeCell ref="B1:U1"/>
    <mergeCell ref="B22:U22"/>
    <mergeCell ref="L4:U4"/>
    <mergeCell ref="B2:U2"/>
    <mergeCell ref="I4:K4"/>
    <mergeCell ref="D4:H4"/>
  </mergeCells>
  <conditionalFormatting sqref="D6:E20">
    <cfRule type="cellIs" dxfId="13" priority="1" operator="greaterThanOrEqual">
      <formula>1</formula>
    </cfRule>
    <cfRule type="cellIs" dxfId="12" priority="2" operator="lessThan">
      <formula>0.85</formula>
    </cfRule>
    <cfRule type="cellIs" dxfId="11" priority="3" operator="between">
      <formula>0.85</formula>
      <formula>0.999</formula>
    </cfRule>
  </conditionalFormatting>
  <conditionalFormatting sqref="I6:J20">
    <cfRule type="cellIs" dxfId="10" priority="7" operator="greaterThanOrEqual">
      <formula>1</formula>
    </cfRule>
    <cfRule type="cellIs" dxfId="9" priority="8" operator="lessThan">
      <formula>0.9</formula>
    </cfRule>
    <cfRule type="cellIs" dxfId="8" priority="9" operator="between">
      <formula>0.9</formula>
      <formula>0.999</formula>
    </cfRule>
  </conditionalFormatting>
  <conditionalFormatting sqref="K6:K20">
    <cfRule type="cellIs" dxfId="7" priority="13" operator="lessThanOrEqual">
      <formula>0.03</formula>
    </cfRule>
    <cfRule type="cellIs" dxfId="6" priority="14" operator="greaterThan">
      <formula>0.05</formula>
    </cfRule>
    <cfRule type="cellIs" dxfId="5" priority="15" operator="between">
      <formula>0.031</formula>
      <formula>0.05</formula>
    </cfRule>
  </conditionalFormatting>
  <conditionalFormatting sqref="S6:S20">
    <cfRule type="cellIs" dxfId="4" priority="16" operator="greaterThanOrEqual">
      <formula>1</formula>
    </cfRule>
    <cfRule type="cellIs" dxfId="3" priority="18" operator="between">
      <formula>0.9</formula>
      <formula>0.999</formula>
    </cfRule>
  </conditionalFormatting>
  <conditionalFormatting sqref="S6:T20">
    <cfRule type="cellIs" dxfId="2" priority="17" operator="lessThan">
      <formula>0.9</formula>
    </cfRule>
  </conditionalFormatting>
  <conditionalFormatting sqref="T6:T20">
    <cfRule type="cellIs" dxfId="1" priority="19" operator="greaterThanOrEqual">
      <formula>0.95</formula>
    </cfRule>
    <cfRule type="cellIs" dxfId="0" priority="21" operator="between">
      <formula>0.9</formula>
      <formula>0.949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pane ySplit="1" topLeftCell="A2" activePane="bottomLeft" state="frozen"/>
      <selection pane="bottomLeft" activeCell="G14" sqref="G14"/>
    </sheetView>
  </sheetViews>
  <sheetFormatPr baseColWidth="10" defaultColWidth="8.7265625" defaultRowHeight="14.5" x14ac:dyDescent="0.35"/>
  <cols>
    <col min="1" max="1" width="4" customWidth="1"/>
    <col min="2" max="2" width="14" customWidth="1"/>
    <col min="3" max="3" width="26" customWidth="1"/>
    <col min="4" max="4" width="42" customWidth="1"/>
    <col min="5" max="5" width="10" customWidth="1"/>
    <col min="6" max="8" width="20" customWidth="1"/>
    <col min="9" max="9" width="18" customWidth="1"/>
  </cols>
  <sheetData>
    <row r="1" spans="1:9" ht="30" customHeight="1" x14ac:dyDescent="0.35">
      <c r="A1" s="20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</row>
    <row r="2" spans="1:9" ht="38" customHeight="1" x14ac:dyDescent="0.35">
      <c r="A2" s="21">
        <v>1</v>
      </c>
      <c r="B2" s="21" t="s">
        <v>44</v>
      </c>
      <c r="C2" s="22" t="s">
        <v>45</v>
      </c>
      <c r="D2" s="22" t="s">
        <v>46</v>
      </c>
      <c r="E2" s="21" t="s">
        <v>47</v>
      </c>
      <c r="F2" s="23" t="s">
        <v>48</v>
      </c>
      <c r="G2" s="24" t="s">
        <v>49</v>
      </c>
      <c r="H2" s="25" t="s">
        <v>50</v>
      </c>
      <c r="I2" s="22" t="s">
        <v>51</v>
      </c>
    </row>
    <row r="3" spans="1:9" ht="38" customHeight="1" x14ac:dyDescent="0.35">
      <c r="A3" s="26">
        <v>2</v>
      </c>
      <c r="B3" s="26" t="s">
        <v>52</v>
      </c>
      <c r="C3" s="27" t="s">
        <v>53</v>
      </c>
      <c r="D3" s="27" t="s">
        <v>54</v>
      </c>
      <c r="E3" s="28" t="s">
        <v>55</v>
      </c>
      <c r="F3" s="23" t="s">
        <v>56</v>
      </c>
      <c r="G3" s="24" t="s">
        <v>57</v>
      </c>
      <c r="H3" s="25" t="s">
        <v>58</v>
      </c>
      <c r="I3" s="27" t="s">
        <v>59</v>
      </c>
    </row>
    <row r="4" spans="1:9" ht="38" customHeight="1" x14ac:dyDescent="0.35">
      <c r="A4" s="21">
        <v>3</v>
      </c>
      <c r="B4" s="21" t="s">
        <v>52</v>
      </c>
      <c r="C4" s="22" t="s">
        <v>60</v>
      </c>
      <c r="D4" s="22" t="s">
        <v>61</v>
      </c>
      <c r="E4" s="29" t="s">
        <v>55</v>
      </c>
      <c r="F4" s="23" t="s">
        <v>56</v>
      </c>
      <c r="G4" s="24" t="s">
        <v>57</v>
      </c>
      <c r="H4" s="25" t="s">
        <v>58</v>
      </c>
      <c r="I4" s="22" t="s">
        <v>59</v>
      </c>
    </row>
    <row r="5" spans="1:9" ht="38" customHeight="1" x14ac:dyDescent="0.35">
      <c r="A5" s="26">
        <v>4</v>
      </c>
      <c r="B5" s="26" t="s">
        <v>52</v>
      </c>
      <c r="C5" s="27" t="s">
        <v>62</v>
      </c>
      <c r="D5" s="27" t="s">
        <v>63</v>
      </c>
      <c r="E5" s="28" t="s">
        <v>55</v>
      </c>
      <c r="F5" s="23" t="s">
        <v>64</v>
      </c>
      <c r="G5" s="24" t="s">
        <v>64</v>
      </c>
      <c r="H5" s="25" t="s">
        <v>64</v>
      </c>
      <c r="I5" s="27" t="s">
        <v>59</v>
      </c>
    </row>
    <row r="6" spans="1:9" ht="38" customHeight="1" x14ac:dyDescent="0.35">
      <c r="A6" s="21">
        <v>5</v>
      </c>
      <c r="B6" s="21" t="s">
        <v>52</v>
      </c>
      <c r="C6" s="22" t="s">
        <v>65</v>
      </c>
      <c r="D6" s="22" t="s">
        <v>66</v>
      </c>
      <c r="E6" s="29" t="s">
        <v>55</v>
      </c>
      <c r="F6" s="23" t="s">
        <v>64</v>
      </c>
      <c r="G6" s="24" t="s">
        <v>64</v>
      </c>
      <c r="H6" s="25" t="s">
        <v>64</v>
      </c>
      <c r="I6" s="22" t="s">
        <v>59</v>
      </c>
    </row>
    <row r="7" spans="1:9" ht="38" customHeight="1" x14ac:dyDescent="0.35">
      <c r="A7" s="26">
        <v>6</v>
      </c>
      <c r="B7" s="26" t="s">
        <v>52</v>
      </c>
      <c r="C7" s="27" t="s">
        <v>67</v>
      </c>
      <c r="D7" s="27" t="s">
        <v>68</v>
      </c>
      <c r="E7" s="28" t="s">
        <v>55</v>
      </c>
      <c r="F7" s="23" t="s">
        <v>64</v>
      </c>
      <c r="G7" s="24" t="s">
        <v>64</v>
      </c>
      <c r="H7" s="25" t="s">
        <v>64</v>
      </c>
      <c r="I7" s="27" t="s">
        <v>59</v>
      </c>
    </row>
    <row r="8" spans="1:9" ht="38" customHeight="1" x14ac:dyDescent="0.35">
      <c r="A8" s="21">
        <v>7</v>
      </c>
      <c r="B8" s="21" t="s">
        <v>69</v>
      </c>
      <c r="C8" s="22" t="s">
        <v>70</v>
      </c>
      <c r="D8" s="22" t="s">
        <v>71</v>
      </c>
      <c r="E8" s="29" t="s">
        <v>55</v>
      </c>
      <c r="F8" s="23" t="s">
        <v>56</v>
      </c>
      <c r="G8" s="24" t="s">
        <v>72</v>
      </c>
      <c r="H8" s="25" t="s">
        <v>73</v>
      </c>
      <c r="I8" s="22" t="s">
        <v>74</v>
      </c>
    </row>
    <row r="9" spans="1:9" ht="38" customHeight="1" x14ac:dyDescent="0.35">
      <c r="A9" s="26">
        <v>8</v>
      </c>
      <c r="B9" s="26" t="s">
        <v>69</v>
      </c>
      <c r="C9" s="27" t="s">
        <v>75</v>
      </c>
      <c r="D9" s="27" t="s">
        <v>76</v>
      </c>
      <c r="E9" s="28" t="s">
        <v>55</v>
      </c>
      <c r="F9" s="23" t="s">
        <v>56</v>
      </c>
      <c r="G9" s="24" t="s">
        <v>72</v>
      </c>
      <c r="H9" s="25" t="s">
        <v>73</v>
      </c>
      <c r="I9" s="27" t="s">
        <v>74</v>
      </c>
    </row>
    <row r="10" spans="1:9" ht="38" customHeight="1" x14ac:dyDescent="0.35">
      <c r="A10" s="21">
        <v>9</v>
      </c>
      <c r="B10" s="21" t="s">
        <v>69</v>
      </c>
      <c r="C10" s="22" t="s">
        <v>77</v>
      </c>
      <c r="D10" s="22" t="s">
        <v>78</v>
      </c>
      <c r="E10" s="29" t="s">
        <v>55</v>
      </c>
      <c r="F10" s="23" t="s">
        <v>79</v>
      </c>
      <c r="G10" s="24" t="s">
        <v>80</v>
      </c>
      <c r="H10" s="25" t="s">
        <v>81</v>
      </c>
      <c r="I10" s="22" t="s">
        <v>74</v>
      </c>
    </row>
    <row r="11" spans="1:9" ht="38" customHeight="1" x14ac:dyDescent="0.35">
      <c r="A11" s="26">
        <v>10</v>
      </c>
      <c r="B11" s="26" t="s">
        <v>82</v>
      </c>
      <c r="C11" s="27" t="s">
        <v>83</v>
      </c>
      <c r="D11" s="27" t="s">
        <v>84</v>
      </c>
      <c r="E11" s="28" t="s">
        <v>55</v>
      </c>
      <c r="F11" s="23" t="s">
        <v>85</v>
      </c>
      <c r="G11" s="24" t="s">
        <v>85</v>
      </c>
      <c r="H11" s="25" t="s">
        <v>85</v>
      </c>
      <c r="I11" s="27" t="s">
        <v>86</v>
      </c>
    </row>
    <row r="12" spans="1:9" ht="38" customHeight="1" x14ac:dyDescent="0.35">
      <c r="A12" s="21">
        <v>11</v>
      </c>
      <c r="B12" s="21" t="s">
        <v>82</v>
      </c>
      <c r="C12" s="22" t="s">
        <v>87</v>
      </c>
      <c r="D12" s="22" t="s">
        <v>88</v>
      </c>
      <c r="E12" s="29" t="s">
        <v>55</v>
      </c>
      <c r="F12" s="23" t="s">
        <v>85</v>
      </c>
      <c r="G12" s="24" t="s">
        <v>85</v>
      </c>
      <c r="H12" s="25" t="s">
        <v>85</v>
      </c>
      <c r="I12" s="22" t="s">
        <v>86</v>
      </c>
    </row>
    <row r="13" spans="1:9" ht="38" customHeight="1" x14ac:dyDescent="0.35">
      <c r="A13" s="26">
        <v>12</v>
      </c>
      <c r="B13" s="26" t="s">
        <v>82</v>
      </c>
      <c r="C13" s="27" t="s">
        <v>89</v>
      </c>
      <c r="D13" s="27" t="s">
        <v>90</v>
      </c>
      <c r="E13" s="28" t="s">
        <v>55</v>
      </c>
      <c r="F13" s="23" t="s">
        <v>85</v>
      </c>
      <c r="G13" s="24" t="s">
        <v>85</v>
      </c>
      <c r="H13" s="25" t="s">
        <v>85</v>
      </c>
      <c r="I13" s="27" t="s">
        <v>86</v>
      </c>
    </row>
    <row r="14" spans="1:9" ht="38" customHeight="1" x14ac:dyDescent="0.35">
      <c r="A14" s="21">
        <v>13</v>
      </c>
      <c r="B14" s="21" t="s">
        <v>82</v>
      </c>
      <c r="C14" s="22" t="s">
        <v>91</v>
      </c>
      <c r="D14" s="22" t="s">
        <v>92</v>
      </c>
      <c r="E14" s="29" t="s">
        <v>55</v>
      </c>
      <c r="F14" s="23" t="s">
        <v>93</v>
      </c>
      <c r="G14" s="24" t="s">
        <v>94</v>
      </c>
      <c r="H14" s="25" t="s">
        <v>95</v>
      </c>
      <c r="I14" s="22" t="s">
        <v>86</v>
      </c>
    </row>
    <row r="15" spans="1:9" ht="38" customHeight="1" x14ac:dyDescent="0.35">
      <c r="A15" s="26">
        <v>14</v>
      </c>
      <c r="B15" s="26" t="s">
        <v>82</v>
      </c>
      <c r="C15" s="27" t="s">
        <v>96</v>
      </c>
      <c r="D15" s="27" t="s">
        <v>97</v>
      </c>
      <c r="E15" s="28" t="s">
        <v>55</v>
      </c>
      <c r="F15" s="23" t="s">
        <v>98</v>
      </c>
      <c r="G15" s="24" t="s">
        <v>99</v>
      </c>
      <c r="H15" s="25" t="s">
        <v>100</v>
      </c>
      <c r="I15" s="27" t="s">
        <v>86</v>
      </c>
    </row>
    <row r="16" spans="1:9" ht="38" customHeight="1" x14ac:dyDescent="0.35">
      <c r="A16" s="21">
        <v>15</v>
      </c>
      <c r="B16" s="21" t="s">
        <v>82</v>
      </c>
      <c r="C16" s="22" t="s">
        <v>101</v>
      </c>
      <c r="D16" s="22" t="s">
        <v>102</v>
      </c>
      <c r="E16" s="29" t="s">
        <v>55</v>
      </c>
      <c r="F16" s="23" t="s">
        <v>103</v>
      </c>
      <c r="G16" s="24" t="s">
        <v>104</v>
      </c>
      <c r="H16" s="25" t="s">
        <v>73</v>
      </c>
      <c r="I16" s="22" t="s">
        <v>86</v>
      </c>
    </row>
    <row r="17" spans="1:9" ht="38" customHeight="1" x14ac:dyDescent="0.35">
      <c r="A17" s="26">
        <v>16</v>
      </c>
      <c r="B17" s="26" t="s">
        <v>82</v>
      </c>
      <c r="C17" s="27" t="s">
        <v>105</v>
      </c>
      <c r="D17" s="27" t="s">
        <v>106</v>
      </c>
      <c r="E17" s="28" t="s">
        <v>55</v>
      </c>
      <c r="F17" s="23" t="s">
        <v>107</v>
      </c>
      <c r="G17" s="24" t="s">
        <v>107</v>
      </c>
      <c r="H17" s="25" t="s">
        <v>107</v>
      </c>
      <c r="I17" s="27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Tablero Control Resultados</vt:lpstr>
      <vt:lpstr>Umbrales y 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Paulo Mc Allister</cp:lastModifiedBy>
  <dcterms:created xsi:type="dcterms:W3CDTF">2026-03-03T21:33:00Z</dcterms:created>
  <dcterms:modified xsi:type="dcterms:W3CDTF">2026-04-09T20:43:22Z</dcterms:modified>
</cp:coreProperties>
</file>